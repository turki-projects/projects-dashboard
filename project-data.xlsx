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داشبورد\الكل\"/>
    </mc:Choice>
  </mc:AlternateContent>
  <bookViews>
    <workbookView xWindow="0" yWindow="0" windowWidth="19200" windowHeight="7125" tabRatio="854" activeTab="7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  <sheet name="المستهدف" sheetId="10" r:id="rId10"/>
    <sheet name="إعدادات_المستهدف" sheetId="11" r:id="rId11"/>
    <sheet name="آلية_العمل" sheetId="12" r:id="rId12"/>
  </sheets>
  <calcPr calcId="0"/>
</workbook>
</file>

<file path=xl/sharedStrings.xml><?xml version="1.0" encoding="utf-8"?>
<sst xmlns="http://schemas.openxmlformats.org/spreadsheetml/2006/main" count="401" uniqueCount="242">
  <si>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</si>
  <si>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</si>
  <si>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</si>
  <si>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</si>
  <si>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</si>
  <si>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</si>
  <si>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</si>
  <si>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</si>
  <si>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</si>
  <si>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</si>
  <si>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</si>
  <si>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</si>
  <si>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</si>
  <si>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</si>
  <si>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</si>
  <si>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</si>
  <si>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</si>
  <si>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</si>
  <si>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</si>
  <si>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</si>
  <si>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</si>
  <si>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</si>
  <si>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</si>
  <si>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</si>
  <si>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</si>
  <si>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</si>
  <si>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</si>
  <si>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</si>
  <si>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</si>
  <si>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</si>
  <si>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</si>
  <si>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</si>
  <si>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</si>
  <si>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</si>
  <si>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230501170757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</si>
  <si>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</si>
  <si>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</si>
  <si>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</si>
  <si>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</si>
  <si>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</si>
  <si>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</si>
  <si>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230301108090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</si>
  <si>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</si>
  <si>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</si>
  <si>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</si>
  <si>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</si>
  <si>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</si>
  <si>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</si>
  <si>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230301102765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</si>
  <si>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</si>
  <si>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</si>
  <si>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</si>
  <si>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</si>
  <si>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</si>
  <si>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</si>
  <si>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</si>
  <si>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230501006980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</si>
  <si>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</si>
  <si>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</si>
  <si>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</si>
  <si>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</si>
  <si>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</si>
  <si>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</si>
  <si>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</si>
  <si>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230701015615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</si>
  <si>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</si>
  <si>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</si>
  <si>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</si>
  <si>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</si>
  <si>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</si>
  <si>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</si>
  <si>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</si>
  <si>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</si>
  <si>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</si>
  <si>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</si>
  <si>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</si>
  <si>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</si>
  <si>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</si>
  <si>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</si>
  <si>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</si>
  <si>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</si>
  <si>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</si>
  <si>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</si>
  <si>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</si>
  <si>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</si>
  <si>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رقم المطالبة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</si>
  <si>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</si>
  <si>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</si>
  <si>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</si>
  <si>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</si>
  <si>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</si>
  <si>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</si>
  <si>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</si>
  <si>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</si>
  <si>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</si>
  <si>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</si>
  <si>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</si>
  <si>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</si>
  <si>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</si>
  <si>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</si>
  <si>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260902033089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</si>
  <si>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</si>
  <si>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</si>
  <si>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</si>
  <si>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260902103523</t>
  </si>
  <si>
    <t>إرفاق شهادة الإنجاز (قبول الطلب)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</si>
  <si>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</si>
  <si>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</si>
  <si>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</si>
  <si>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</si>
  <si>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</si>
  <si>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</si>
  <si>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</si>
  <si>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260902105658</t>
  </si>
  <si>
    <t>https://drive.google.com/file/d/1MAGUTn-gnSooNF66Uo2MeVzQNJrOowsB/view?usp=sharing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</si>
  <si>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</si>
  <si>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</si>
  <si>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</si>
  <si>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260802068601</t>
  </si>
  <si>
    <t>https://drive.google.com/file/d/1OCqZ1HProvyCzUfEKxWsht3FYn8fXjLH/view?usp=sharing</t>
  </si>
  <si>
    <t>260902085283</t>
  </si>
  <si>
    <t>https://drive.google.com/file/d/1DlMynKHwtQ0gJnfIIRWXUZbr-ScVJ9Xj/view?usp=sharing</t>
  </si>
  <si>
    <t>260902063255</t>
  </si>
  <si>
    <t>تسجيل مطالبة (إرسال الطلب)</t>
  </si>
  <si>
    <t>https://drive.google.com/file/d/1cQiLoAVhq7W_0Jww4HfJqpYTF0SOH29i/view?usp=sharing</t>
  </si>
  <si>
    <t>صك الأرض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</si>
  <si>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</si>
  <si>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</si>
  <si>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</si>
  <si>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</si>
  <si>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</si>
  <si>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</si>
  <si>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</si>
  <si>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</si>
  <si>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</si>
  <si>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</si>
  <si>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تسجيل أمر دفع (إرسال)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</si>
  <si>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</si>
  <si>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</si>
  <si>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</si>
  <si>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</si>
  <si>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</si>
  <si>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</si>
  <si>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</si>
  <si>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</si>
  <si>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</si>
  <si>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</si>
  <si>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</si>
  <si>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</si>
  <si>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</si>
  <si>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</si>
  <si>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</si>
  <si>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</si>
  <si>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</si>
  <si>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</si>
  <si>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</si>
  <si>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</si>
  <si>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</si>
  <si>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</si>
  <si>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</si>
  <si>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 xml:space="preserve">المهمة </t>
  </si>
  <si>
    <t>متابعة عكس المناقلة 1 في منصة اعتماد (إدارة المشتريات والعقود)</t>
  </si>
  <si>
    <t>متابعة عكس المستحدث في منصة اعتماد (إدارة المشتريات والعقود)</t>
  </si>
  <si>
    <t>متابعة تعميد المستحدث مع تمديد مدة المشروع 6 اشهر</t>
  </si>
  <si>
    <t>متابعة تمديد مدة المشروع 4 اشهر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</si>
  <si>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</si>
  <si>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</si>
  <si>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</si>
  <si>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</si>
  <si>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</si>
  <si>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الحالة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</si>
  <si>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</si>
  <si>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</si>
  <si>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</si>
  <si>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https://drive.google.com/file/d/15jWt4Am_3-SMmOx5qyublOOVDJZTUsPV/view?usp=sharing</t>
  </si>
  <si>
    <t>قيد المتابعة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</si>
  <si>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</si>
  <si>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</si>
  <si>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</si>
  <si>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</si>
  <si>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>لم يتم دمج الصكوك</t>
  </si>
  <si>
    <t>https://drive.google.com/file/d/1_e8eJAXD6ta3Tg-S27-FdHRN_PzwoIDS/view?usp=sharing</t>
  </si>
  <si>
    <t>خطاب تفويض من ريف لشركة الفا ديم لإستكمال إجراءات إدخال التيار الكهربائي</t>
  </si>
  <si>
    <t>https://drive.google.com/file/d/1ld2Nof_kK5yPjWYC3Qn8nhUb2Z9A5OCn/view?usp=sharing</t>
  </si>
  <si>
    <t>صك الجزء الغربي والجزء الشرقي - لم يتم تحديث الصك</t>
  </si>
  <si>
    <t>https://drive.google.com/file/d/1lHFnOTkZmym1r1rHv2gO6ReKGEPu3YBI/view?usp=sharing</t>
  </si>
  <si>
    <t>اخر خطاب تم ارساله لريف بتاريخ 02-09-2025 بطلب الصك الالكتروني والقرار المساحي والتفويض</t>
  </si>
  <si>
    <t>https://drive.google.com/file/d/1hfj3eDV5AuWe-_3LBgEQT_wZn57oLvlB/view?usp=sharing</t>
  </si>
  <si>
    <t>https://drive.google.com/file/d/16Lb8Z9zTRBr8sQ7IfsM9Zm3h0ObNxXX1/view?usp=sharing</t>
  </si>
  <si>
    <t>لايوجد تحديث</t>
  </si>
  <si>
    <t>لم يبدأ</t>
  </si>
  <si>
    <t>المبلغ المستهدف (ريال)</t>
  </si>
  <si>
    <t>مبلغ المستخلص المحقق من المستهدف (ريال)</t>
  </si>
  <si>
    <t>ملاحظات</t>
  </si>
  <si>
    <t>النسبة الدنيا للنطاق (%)</t>
  </si>
  <si>
    <t>النسبة العليا للنطاق (%)</t>
  </si>
  <si>
    <t>البند</t>
  </si>
  <si>
    <t>القيمة</t>
  </si>
  <si>
    <t>عنوان التقرير</t>
  </si>
  <si>
    <t>متابعة المستخلصات والمستهدف المالي قبل إقفال السنة المالية 2026</t>
  </si>
  <si>
    <t>الهدف من التقرير</t>
  </si>
  <si>
    <t>تاريخ إقفال المطالبات</t>
  </si>
  <si>
    <t>2026-10-15</t>
  </si>
  <si>
    <t>النسبة الدنيا للمستخلص القادم (%)</t>
  </si>
  <si>
    <t>النسبة العليا للمستخلص القادم (%)</t>
  </si>
  <si>
    <t>م</t>
  </si>
  <si>
    <t>العنوان</t>
  </si>
  <si>
    <t>الوصف</t>
  </si>
  <si>
    <t>تحديد المبلغ المستهدف</t>
  </si>
  <si>
    <t>إعداد وتقديم المستخلص</t>
  </si>
  <si>
    <t>المتابعة حتى الصرف</t>
  </si>
  <si>
    <t xml:space="preserve">يُتابع المستخلص حتى مرحلة تسجيل أمر الدفع </t>
  </si>
  <si>
    <t>يُحدَّد لكل مشروع مبلغ مستخلص نسعى لتحصيله قبل إقفال المطالبات</t>
  </si>
  <si>
    <t>https://portal.reefpmo.com/project-requests/3ecbca81-b8f3-4c39-9939-47f69e09d359/details</t>
  </si>
  <si>
    <t>https://portal.reefpmo.com/project-requests/8a23356c-9e99-43dc-9740-38fbe475b734/details</t>
  </si>
  <si>
    <t>تم ارسال خطاب من ريف بطلب تمديد العقد للجنة فحص العروض (482555002) 1448/04/02 التحديث: 07-10-2026 الطلب الان عند إدارة التراخيص والسجلات الزراعية</t>
  </si>
  <si>
    <t>https://portal.reefpmo.com/project-requests/5ac725ab-1435-4796-91fd-b53ff4c6680a/details</t>
  </si>
  <si>
    <t>تم عكس مناقلة 1 على منصة اعتماد</t>
  </si>
  <si>
    <t>تم عكس مناقلة 2 على منصة اعتماد</t>
  </si>
  <si>
    <t>تم عكس المناقلة على منصة اعتماد</t>
  </si>
  <si>
    <t xml:space="preserve"> </t>
  </si>
  <si>
    <t>تحديد مبلغ مستخلص مستهدف لكل مشروع نسعى لتحصيله قبل إقفال المطالبات للسنة المالية 2026 ، وقياس ما تحقق منه، وبيان أثره على المصروف وتحت الصرف والمتبقي من قيمة المشروع.</t>
  </si>
  <si>
    <t>إعادة الى مقدم الطلب من مدقق المطالبة المالية</t>
  </si>
  <si>
    <t>إعادة الى مقدم الطلب من معمّد المطالبة المالية</t>
  </si>
  <si>
    <t>إعادة الى مقدم الطلب من مدير الإدارة المالية</t>
  </si>
  <si>
    <t>إعادة الى مقدم الطلب من صاحب الصلاحية النهائي</t>
  </si>
  <si>
    <t>إعادة الى مقدم الطلب من المراقب المالي</t>
  </si>
  <si>
    <t>261002042229</t>
  </si>
  <si>
    <t>https://drive.google.com/file/d/1gffdc0oDMoJSXomBwqc4H8XDJMKbZMhJ/view?usp=sharing</t>
  </si>
  <si>
    <t>رقم المعاملة (25221980) 1447/12/01، التحديث:  تم ارسال خطاب من ريف الى لجنة فحص العروض بتوضيح ارقام البنود الانشائية للبنود المستحدثة - التحديث: تم ارسال الخطاب برقم (482568396) بتاريخ 05/10/2026 التحديث : بحسب افادة اللجنة هذا الأسبوع او القادم سيتم الاجتماع واصدار التوصية 12/10/2026</t>
  </si>
  <si>
    <t>تم التواصل مع عبدالله النحيط (إدارة العقود والمشتريات) اليوم 12-10-2026 لرفع المناقلة وعكسها في منصة اعتماد</t>
  </si>
  <si>
    <t>تم التواصل مع عبدالله النحيط (إدارة العقود والمشتريات) اليوم 12-10-2026 لرفع المستحدث وعكسها في منصة اعتماد</t>
  </si>
  <si>
    <t>https://drive.google.com/file/d/1EA8e0j60JFK0KBZ5Lso36W8qSyDpRag_/view?usp=sharing</t>
  </si>
  <si>
    <t>https://drive.google.com/file/d/1UQvaCv2cGwFVffrByFyXDav60GafuGh3/view?usp=sharing</t>
  </si>
  <si>
    <t>https://drive.google.com/file/d/1AVtqv7oFcvsmNgIYS7AWfetx7PpaNCTH/view?usp=sharing</t>
  </si>
  <si>
    <t xml:space="preserve">تم توفير متطلبات شركة الكهرباء من قبل فرع الوزارة ومن مهندس الموقع وبانتظار استلام خطاب التفويض من الفرع ليتابع م.عبدالرحمن مباشرة أي متطلبات من الكهرباء 
التحديث 01-10-2026:
تم ارسال بالامس متطلبات شركة الكهرباء من قبل فرع الوزارة وسيتواصل اليوم م.عبدالرحمن مع عبدالله الغنيمي مسؤول فرع الوزارة بخصوص التفويض
التحديث 05-10-2026
تم تجهيز خطاب التفويض من الفرع بانتظار توقيعه من المدير العام
التحديث 18-10-2026
سيتواصل مدير فرع الوزارة مع شركة الكهرباء </t>
  </si>
  <si>
    <t>التحديث 01-10-2026:
ستكون هناك زيارة من م.محمد يحيى لشركة الكهرباء يوم الاحد القادم
التحديث 05-10-2026
غدا ستكون زيارة م.محمد يحيى لشركة الكهرباء
التحديث 18-10-2026
سيتم تجهيز خطاب من ريف موجه الى شركة الكهرباء</t>
  </si>
  <si>
    <t xml:space="preserve">تم تعديل الاحمال الكهربائية للمشروع الى 2500 امبير في خطاب ريف الموجه لشركة الكهرباء ، وجاري متابعة م. مدثر مع شركة الكهرباء
رقم الخطاب 21089195
التحديث 01-10-2026:
اليوم مدثر سيتوجه لزيارة شركة الكهرباء
التحديث 05-10-2026
سيتم زيارة شركة الكهرباء بعد غد للتأكد من وصول خطاب التفويض رقم  (21089195)
التحديث 18-10-2026
غداً سيتم زيارة الموقع من شركة الكهرباء
</t>
  </si>
  <si>
    <t xml:space="preserve">جاري تعديل الاحمال الكهربائية للمشروع الى 1500 ميجاوات في خطاب ريف الموجه لشركة الكهرباء ، وجاري متابعة م. محمد سليمان مع شركة الكهرباء
التحديث 18-10-2026
تم تعديل الخطاب والان للتوقيع والتصدير لشركة الكهرباء
</t>
  </si>
  <si>
    <t>لم يتم تسجيل مطالبة مالية بسبب ان العقد تحت التعديل</t>
  </si>
  <si>
    <t>تم تقسيم المستخلصات بسبب جداول المعالم</t>
  </si>
  <si>
    <t>توريد خطاب طلب تمديد للمشروع 6 اشهر بسبب الأوضاع الجيوسياسية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</si>
</sst>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8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FFF6E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F6E0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43" fontId="6" fillId="0" borderId="0" applyFont="0" applyFill="0" applyBorder="0" applyAlignment="0" applyProtection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0" fontId="5" fillId="7" borderId="1" xfId="1" applyFill="1" applyBorder="1" applyAlignment="1">
      <alignment horizontal="center" vertical="center"/>
    </xf>
    <xf numFmtId="0" fontId="0" fillId="8" borderId="0" xfId="0" applyFill="1"/>
    <xf numFmtId="0" fontId="5" fillId="8" borderId="0" xfId="1" applyFill="1"/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4" fillId="5" borderId="2" xfId="0" applyFont="1" applyFill="1" applyBorder="1" applyAlignment="1">
      <alignment horizontal="center" vertical="top" wrapText="1"/>
    </xf>
    <xf numFmtId="0" fontId="3" fillId="2" borderId="2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5" fillId="5" borderId="2" xfId="1" applyFill="1" applyBorder="1" applyAlignment="1">
      <alignment horizontal="center" vertical="top" wrapText="1"/>
    </xf>
    <xf numFmtId="0" fontId="5" fillId="0" borderId="2" xfId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5" borderId="2" xfId="0" applyFill="1" applyBorder="1" applyAlignment="1">
      <alignment horizontal="center" vertical="top" wrapText="1"/>
    </xf>
    <xf numFmtId="43" fontId="3" fillId="2" borderId="1" xfId="2" applyFont="1" applyFill="1" applyBorder="1" applyAlignment="1">
      <alignment horizontal="center" vertical="center" wrapText="1"/>
    </xf>
    <xf numFmtId="43" fontId="0" fillId="3" borderId="1" xfId="2" applyFont="1" applyFill="1" applyBorder="1" applyAlignment="1">
      <alignment horizontal="center" vertical="center"/>
    </xf>
    <xf numFmtId="43" fontId="0" fillId="6" borderId="1" xfId="2" applyFont="1" applyFill="1" applyBorder="1" applyAlignment="1">
      <alignment horizontal="center" vertical="center"/>
    </xf>
    <xf numFmtId="43" fontId="0" fillId="0" borderId="0" xfId="2" applyFont="1"/>
    <xf numFmtId="0" fontId="5" fillId="0" borderId="0" xfId="1"/>
    <xf numFmtId="0" fontId="4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3" fontId="0" fillId="9" borderId="1" xfId="2" applyFont="1" applyFill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14" fontId="0" fillId="9" borderId="1" xfId="0" applyNumberFormat="1" applyFill="1" applyBorder="1" applyAlignment="1">
      <alignment horizontal="center" vertical="center"/>
    </xf>
    <xf numFmtId="0" fontId="5" fillId="10" borderId="1" xfId="1" applyFill="1" applyBorder="1" applyAlignment="1">
      <alignment horizontal="center" vertical="center"/>
    </xf>
    <xf numFmtId="0" fontId="0" fillId="11" borderId="0" xfId="0" applyFill="1"/>
    <xf numFmtId="1" fontId="7" fillId="0" borderId="3" xfId="0" applyNumberFormat="1" applyFont="1" applyBorder="1" applyAlignment="1">
      <alignment horizontal="center" vertical="center"/>
    </xf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ymrMki7xMZ9VIMGigMtT7qDyl6Upr9z/view?usp=sharing" TargetMode="External"/><Relationship Id="rId13" Type="http://schemas.openxmlformats.org/officeDocument/2006/relationships/hyperlink" Target="https://drive.google.com/file/d/1ULLAfUdGGLzvnN_VjYMZ6WOfrZlfn6At/view?usp=sharing" TargetMode="External"/><Relationship Id="rId18" Type="http://schemas.openxmlformats.org/officeDocument/2006/relationships/hyperlink" Target="https://drive.google.com/file/d/1AVtqv7oFcvsmNgIYS7AWfetx7PpaNCTH/view?usp=sharing" TargetMode="External"/><Relationship Id="rId3" Type="http://schemas.openxmlformats.org/officeDocument/2006/relationships/hyperlink" Target="https://drive.google.com/file/d/14vhbGQwKwItKGhVFUl_kT3g3M93e-C3l/view?usp=sharing" TargetMode="External"/><Relationship Id="rId7" Type="http://schemas.openxmlformats.org/officeDocument/2006/relationships/hyperlink" Target="https://drive.google.com/file/d/1nARHrgke1O2BEiW9tIusnii-LKwqzD5U/view?usp=sharing" TargetMode="External"/><Relationship Id="rId12" Type="http://schemas.openxmlformats.org/officeDocument/2006/relationships/hyperlink" Target="https://drive.google.com/file/d/1NOvEKBn3MXEBZ_yVJ1-9Z1O0Pkv0aH8Z/view?usp=sharing" TargetMode="External"/><Relationship Id="rId17" Type="http://schemas.openxmlformats.org/officeDocument/2006/relationships/hyperlink" Target="https://drive.google.com/file/d/1FlN_PRCd-WPnMuTJxIjFxdQ9A2AHQNZU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s5z8HH1EHfRBKA-53c3iA3hbl1SstCDB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f7N1op0Eq2aUvSpdM-TGCMMRr9-X5mVL/view?usp=sharing" TargetMode="External"/><Relationship Id="rId11" Type="http://schemas.openxmlformats.org/officeDocument/2006/relationships/hyperlink" Target="https://drive.google.com/file/d/1bE_ykNzdTEqS6It0bCFnIML01-Z83FWb/view?usp=sharing" TargetMode="External"/><Relationship Id="rId5" Type="http://schemas.openxmlformats.org/officeDocument/2006/relationships/hyperlink" Target="https://drive.google.com/file/d/1-cii5zYBZkJ07a0rLICyuHwiWeP8rFas/view?usp=sharing" TargetMode="External"/><Relationship Id="rId15" Type="http://schemas.openxmlformats.org/officeDocument/2006/relationships/hyperlink" Target="https://drive.google.com/file/d/1mKpDaFN0c2vohsgeW69CaFX0vF4VZNDs/view?usp=sharing" TargetMode="External"/><Relationship Id="rId10" Type="http://schemas.openxmlformats.org/officeDocument/2006/relationships/hyperlink" Target="https://drive.google.com/file/d/1U3hBMOJpWuj9LVJb6wOFWWs_SLNnNYV1/view?usp=sharing" TargetMode="External"/><Relationship Id="rId4" Type="http://schemas.openxmlformats.org/officeDocument/2006/relationships/hyperlink" Target="https://drive.google.com/file/d/1q5AIm1VqQJfHo5NguuA6UQbaotQ3QozJ/view?usp=sharing" TargetMode="External"/><Relationship Id="rId9" Type="http://schemas.openxmlformats.org/officeDocument/2006/relationships/hyperlink" Target="https://drive.google.com/file/d/1hKpH8veuopPR0hdGnnly4ai3pSGvD6Tl/view?usp=sharing" TargetMode="External"/><Relationship Id="rId14" Type="http://schemas.openxmlformats.org/officeDocument/2006/relationships/hyperlink" Target="https://drive.google.com/file/d/1evTvz6TvZtqlsIb6XvJAWgoN6wIhBv-J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5ac725ab-1435-4796-91fd-b53ff4c6680a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8a23356c-9e99-43dc-9740-38fbe475b734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3ecbca81-b8f3-4c39-9939-47f69e09d359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SFaccaBKkF_krQnF0iJyH_pua8dYXSoJ/view?usp=sharing" TargetMode="External"/><Relationship Id="rId18" Type="http://schemas.openxmlformats.org/officeDocument/2006/relationships/hyperlink" Target="https://drive.google.com/file/d/1eiYyeP89_88-mEqwYfJAu2KMUie_p58Y/view?usp=sharing" TargetMode="External"/><Relationship Id="rId26" Type="http://schemas.openxmlformats.org/officeDocument/2006/relationships/hyperlink" Target="https://drive.google.com/file/d/1EA8e0j60JFK0KBZ5Lso36W8qSyDpRag_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c_pmnuYZqwQYMzbRwzigD6gJdtfNcyox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ETMJJaCim3nqn2VjClRgvvxCHdoXG6eX/view?usp=sharing" TargetMode="External"/><Relationship Id="rId25" Type="http://schemas.openxmlformats.org/officeDocument/2006/relationships/hyperlink" Target="https://drive.google.com/file/d/1cQiLoAVhq7W_0Jww4HfJqpYTF0SOH29i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JB7Dxg9u0ZIsAQ2fis1RCfLyJkJt0gOH/view?usp=sharing" TargetMode="External"/><Relationship Id="rId20" Type="http://schemas.openxmlformats.org/officeDocument/2006/relationships/hyperlink" Target="https://drive.google.com/file/d/1X7mjKqWPk5-ECdT4YtXZfP2bNy2rQ1ha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DlMynKHwtQ0gJnfIIRWXUZbr-ScVJ9Xj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s18cywprcVoJ5246uJCirorIhLF2Ct6B/view?usp=sharing" TargetMode="External"/><Relationship Id="rId23" Type="http://schemas.openxmlformats.org/officeDocument/2006/relationships/hyperlink" Target="https://drive.google.com/file/d/1OCqZ1HProvyCzUfEKxWsht3FYn8fXjLH/view?usp=sharing" TargetMode="External"/><Relationship Id="rId28" Type="http://schemas.openxmlformats.org/officeDocument/2006/relationships/hyperlink" Target="https://drive.google.com/file/d/1RD4fJUhd2orKZ5yJcdYXvnhJ_TflUGEs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MAGUTn-gnSooNF66Uo2MeVzQNJrOowsB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Zb9wrOEGG38ZJUFM1PAsP46G0ABcAQiM/view?usp=sharing" TargetMode="External"/><Relationship Id="rId22" Type="http://schemas.openxmlformats.org/officeDocument/2006/relationships/hyperlink" Target="https://drive.google.com/file/d/1m8CJAkDxZiKIl5QXp9SzmiBt5mDo4TBd/view?usp=sharing" TargetMode="External"/><Relationship Id="rId27" Type="http://schemas.openxmlformats.org/officeDocument/2006/relationships/hyperlink" Target="https://drive.google.com/file/d/1UQvaCv2cGwFVffrByFyXDav60GafuGh3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lHFnOTkZmym1r1rHv2gO6ReKGEPu3YBI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11" Type="http://schemas.openxmlformats.org/officeDocument/2006/relationships/hyperlink" Target="https://drive.google.com/file/d/1gffdc0oDMoJSXomBwqc4H8XDJMKbZMhJ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topLeftCell="F1" zoomScaleNormal="100" workbookViewId="0">
      <pane ySplit="1" topLeftCell="A2" activePane="bottomLeft" state="frozen"/>
      <selection pane="bottomLeft" activeCell="P3" sqref="P3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  <c r="Q1" s="3" t="s">
        <v>29</v>
      </c>
    </row>
    <row r="2" spans="1:17" ht="57" customHeight="1">
      <c r="A2" s="4" t="s">
        <v>30</v>
      </c>
      <c r="B2" s="4" t="s">
        <v>31</v>
      </c>
      <c r="C2" s="4" t="s">
        <v>32</v>
      </c>
      <c r="D2" s="4" t="s">
        <v>33</v>
      </c>
      <c r="E2" s="12" t="s">
        <v>34</v>
      </c>
      <c r="F2" s="7">
        <v>45567</v>
      </c>
      <c r="G2" s="7">
        <v>45890</v>
      </c>
      <c r="H2" s="5"/>
      <c r="I2" s="5"/>
      <c r="J2" s="5"/>
      <c r="K2" s="5">
        <v>25255534.379999999</v>
      </c>
      <c r="L2" s="5">
        <v>50</v>
      </c>
      <c r="M2" s="8" t="s">
        <v>35</v>
      </c>
      <c r="N2" s="8" t="s">
        <v>36</v>
      </c>
      <c r="O2" s="8"/>
      <c r="P2" s="10"/>
      <c r="Q2" s="8" t="s">
        <v>37</v>
      </c>
    </row>
    <row r="3" spans="1:17" ht="57" customHeight="1">
      <c r="A3" s="4" t="s">
        <v>38</v>
      </c>
      <c r="B3" s="4" t="s">
        <v>39</v>
      </c>
      <c r="C3" s="4" t="s">
        <v>32</v>
      </c>
      <c r="D3" s="4" t="s">
        <v>40</v>
      </c>
      <c r="E3" s="12" t="s">
        <v>41</v>
      </c>
      <c r="F3" s="7">
        <v>45356</v>
      </c>
      <c r="G3" s="7">
        <v>45622</v>
      </c>
      <c r="H3" s="7">
        <v>46237</v>
      </c>
      <c r="I3" s="5">
        <v>660</v>
      </c>
      <c r="J3" s="7">
        <v>46381</v>
      </c>
      <c r="K3" s="5">
        <v>22998532.079999998</v>
      </c>
      <c r="L3" s="5">
        <v>40</v>
      </c>
      <c r="M3" s="8" t="s">
        <v>42</v>
      </c>
      <c r="N3" s="8" t="s">
        <v>43</v>
      </c>
      <c r="O3" s="8" t="s">
        <v>44</v>
      </c>
      <c r="P3" s="42" t="s">
        <v>234</v>
      </c>
      <c r="Q3" s="8" t="s">
        <v>45</v>
      </c>
    </row>
    <row r="4" spans="1:17" ht="42.75" customHeight="1">
      <c r="A4" s="4" t="s">
        <v>46</v>
      </c>
      <c r="B4" s="4" t="s">
        <v>47</v>
      </c>
      <c r="C4" s="4" t="s">
        <v>32</v>
      </c>
      <c r="D4" s="4" t="s">
        <v>33</v>
      </c>
      <c r="E4" s="12" t="s">
        <v>48</v>
      </c>
      <c r="F4" s="7">
        <v>45673</v>
      </c>
      <c r="G4" s="7">
        <v>46197</v>
      </c>
      <c r="H4" s="5"/>
      <c r="I4" s="5">
        <v>180</v>
      </c>
      <c r="J4" s="5"/>
      <c r="K4" s="5">
        <v>24104000</v>
      </c>
      <c r="L4" s="5">
        <v>40</v>
      </c>
      <c r="M4" s="8" t="s">
        <v>49</v>
      </c>
      <c r="N4" s="8" t="s">
        <v>50</v>
      </c>
      <c r="O4" s="10" t="s">
        <v>51</v>
      </c>
      <c r="P4" s="8" t="s">
        <v>51</v>
      </c>
      <c r="Q4" s="8" t="s">
        <v>52</v>
      </c>
    </row>
    <row r="5" spans="1:17" ht="57" customHeight="1">
      <c r="A5" s="4" t="s">
        <v>53</v>
      </c>
      <c r="B5" s="4" t="s">
        <v>54</v>
      </c>
      <c r="C5" s="4" t="s">
        <v>55</v>
      </c>
      <c r="D5" s="4" t="s">
        <v>40</v>
      </c>
      <c r="E5" s="12" t="s">
        <v>56</v>
      </c>
      <c r="F5" s="7">
        <v>45162</v>
      </c>
      <c r="G5" s="7">
        <v>45262</v>
      </c>
      <c r="H5" s="7">
        <v>46160</v>
      </c>
      <c r="I5" s="5">
        <v>943</v>
      </c>
      <c r="J5" s="7">
        <v>46470</v>
      </c>
      <c r="K5" s="5">
        <v>25274607.210000001</v>
      </c>
      <c r="L5" s="5">
        <v>40</v>
      </c>
      <c r="M5" s="8" t="s">
        <v>57</v>
      </c>
      <c r="N5" s="8" t="s">
        <v>58</v>
      </c>
      <c r="O5" s="8" t="s">
        <v>59</v>
      </c>
      <c r="P5" s="8" t="s">
        <v>60</v>
      </c>
      <c r="Q5" s="8" t="s">
        <v>61</v>
      </c>
    </row>
    <row r="6" spans="1:17" ht="57" customHeight="1">
      <c r="A6" s="4" t="s">
        <v>62</v>
      </c>
      <c r="B6" s="4" t="s">
        <v>63</v>
      </c>
      <c r="C6" s="4" t="s">
        <v>55</v>
      </c>
      <c r="D6" s="4" t="s">
        <v>40</v>
      </c>
      <c r="E6" s="12" t="s">
        <v>64</v>
      </c>
      <c r="F6" s="7">
        <v>46041</v>
      </c>
      <c r="G6" s="5"/>
      <c r="H6" s="5"/>
      <c r="I6" s="5"/>
      <c r="J6" s="7">
        <v>46405</v>
      </c>
      <c r="K6" s="5">
        <v>25210660.789999999</v>
      </c>
      <c r="L6" s="5">
        <v>20</v>
      </c>
      <c r="M6" s="8" t="s">
        <v>65</v>
      </c>
      <c r="N6" s="10"/>
      <c r="O6" s="10"/>
      <c r="P6" s="10" t="s">
        <v>66</v>
      </c>
      <c r="Q6" s="8" t="s">
        <v>66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L3" r:id="rId3" display="https://drive.google.com/file/d/14vhbGQwKwItKGhVFUl_kT3g3M93e-C3l/view?usp=sharing"/>
    <hyperlink ref="M3" r:id="rId4"/>
    <hyperlink ref="N3" r:id="rId5"/>
    <hyperlink ref="O3" r:id="rId6"/>
    <hyperlink ref="L4" r:id="rId7" display="https://drive.google.com/file/d/1nARHrgke1O2BEiW9tIusnii-LKwqzD5U/view?usp=sharing"/>
    <hyperlink ref="M4" r:id="rId8"/>
    <hyperlink ref="O4" r:id="rId9"/>
    <hyperlink ref="P4" r:id="rId10"/>
    <hyperlink ref="L5" r:id="rId11" display="https://drive.google.com/file/d/1bE_ykNzdTEqS6It0bCFnIML01-Z83FWb/view?usp=sharing"/>
    <hyperlink ref="M5" r:id="rId12"/>
    <hyperlink ref="N5" r:id="rId13"/>
    <hyperlink ref="O5" r:id="rId14"/>
    <hyperlink ref="P5" r:id="rId15"/>
    <hyperlink ref="L6" r:id="rId16" display="https://drive.google.com/file/d/1s5z8HH1EHfRBKA-53c3iA3hbl1SstCDB/view?usp=sharing"/>
    <hyperlink ref="P6" r:id="rId17"/>
    <hyperlink ref="P3" r:id="rId18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E1" zoomScaleNormal="100" workbookViewId="0">
      <pane ySplit="1" topLeftCell="A3" activePane="bottomLeft" state="frozen"/>
      <selection pane="bottomLeft" activeCell="H9" sqref="H9"/>
    </sheetView>
  </sheetViews>
  <sheetFormatPr defaultColWidth="8.6640625" defaultRowHeight="14.25"/>
  <cols>
    <col min="1" max="1" width="14" style="13" customWidth="1"/>
    <col min="2" max="2" width="12" style="13" customWidth="1"/>
    <col min="3" max="4" width="18" style="13" customWidth="1"/>
    <col min="5" max="5" width="20" style="13" customWidth="1"/>
    <col min="6" max="6" width="18" style="13" customWidth="1"/>
    <col min="7" max="7" width="26" style="13" customWidth="1"/>
    <col min="8" max="8" width="18" style="13" customWidth="1"/>
    <col min="9" max="11" width="26" style="13" customWidth="1"/>
    <col min="12" max="12" width="8.6640625" style="13" customWidth="1"/>
    <col min="13" max="16384" width="8.6640625" style="13"/>
  </cols>
  <sheetData>
    <row r="1" spans="1:11" ht="27.75" customHeight="1">
      <c r="A1" s="3" t="s">
        <v>67</v>
      </c>
      <c r="B1" s="3" t="s">
        <v>68</v>
      </c>
      <c r="C1" s="3" t="s">
        <v>69</v>
      </c>
      <c r="D1" s="3" t="s">
        <v>70</v>
      </c>
      <c r="E1" s="3" t="s">
        <v>71</v>
      </c>
      <c r="F1" s="3" t="s">
        <v>72</v>
      </c>
      <c r="G1" s="3" t="s">
        <v>73</v>
      </c>
      <c r="H1" s="3" t="s">
        <v>74</v>
      </c>
      <c r="I1" s="3" t="s">
        <v>75</v>
      </c>
      <c r="J1" s="3" t="s">
        <v>76</v>
      </c>
      <c r="K1" s="3" t="s">
        <v>77</v>
      </c>
    </row>
    <row r="2" spans="1:11" ht="57" customHeight="1">
      <c r="A2" s="14" t="s">
        <v>30</v>
      </c>
      <c r="B2" s="15">
        <v>10</v>
      </c>
      <c r="C2" s="15">
        <v>4936942.4000000004</v>
      </c>
      <c r="D2" s="16">
        <v>46266</v>
      </c>
      <c r="E2" s="16">
        <v>46266</v>
      </c>
      <c r="F2" s="16">
        <v>46267</v>
      </c>
      <c r="G2" s="16">
        <v>46272</v>
      </c>
      <c r="H2" s="16">
        <v>46272</v>
      </c>
      <c r="I2" s="16">
        <v>46272</v>
      </c>
      <c r="J2" s="8" t="s">
        <v>78</v>
      </c>
      <c r="K2" s="9" t="s">
        <v>79</v>
      </c>
    </row>
    <row r="3" spans="1:11" ht="57" customHeight="1">
      <c r="A3" s="14" t="s">
        <v>38</v>
      </c>
      <c r="B3" s="15">
        <v>3</v>
      </c>
      <c r="C3" s="15">
        <v>5497905.1200000001</v>
      </c>
      <c r="D3" s="16">
        <v>46238</v>
      </c>
      <c r="E3" s="16">
        <v>46238</v>
      </c>
      <c r="F3" s="16">
        <v>46238</v>
      </c>
      <c r="G3" s="16">
        <v>46238</v>
      </c>
      <c r="H3" s="16">
        <v>46238</v>
      </c>
      <c r="I3" s="16">
        <v>46238</v>
      </c>
      <c r="J3" s="8" t="s">
        <v>80</v>
      </c>
      <c r="K3" s="8" t="s">
        <v>81</v>
      </c>
    </row>
    <row r="4" spans="1:11" ht="57" customHeight="1">
      <c r="A4" s="14" t="s">
        <v>46</v>
      </c>
      <c r="B4" s="15">
        <v>8</v>
      </c>
      <c r="C4" s="15">
        <v>5077174.25</v>
      </c>
      <c r="D4" s="16">
        <v>46274</v>
      </c>
      <c r="E4" s="16">
        <v>46274</v>
      </c>
      <c r="F4" s="16">
        <v>46274</v>
      </c>
      <c r="G4" s="16">
        <v>46274</v>
      </c>
      <c r="H4" s="16">
        <v>46274</v>
      </c>
      <c r="I4" s="16">
        <v>46274</v>
      </c>
      <c r="J4" s="8" t="s">
        <v>82</v>
      </c>
      <c r="K4" s="8" t="s">
        <v>83</v>
      </c>
    </row>
    <row r="5" spans="1:11" ht="57" customHeight="1">
      <c r="A5" s="14" t="s">
        <v>53</v>
      </c>
      <c r="B5" s="15">
        <v>5</v>
      </c>
      <c r="C5" s="17">
        <v>5218939.29</v>
      </c>
      <c r="D5" s="16">
        <v>46301</v>
      </c>
      <c r="E5" s="16">
        <v>46301</v>
      </c>
      <c r="F5" s="16">
        <v>46301</v>
      </c>
      <c r="G5" s="16">
        <v>46301</v>
      </c>
      <c r="H5" s="16">
        <v>46301</v>
      </c>
      <c r="I5" s="16">
        <v>46301</v>
      </c>
      <c r="J5" s="9" t="s">
        <v>213</v>
      </c>
      <c r="K5" s="8" t="s">
        <v>84</v>
      </c>
    </row>
    <row r="6" spans="1:11" ht="57" customHeight="1">
      <c r="A6" s="14" t="s">
        <v>62</v>
      </c>
      <c r="B6" s="15">
        <v>3</v>
      </c>
      <c r="C6" s="17">
        <v>664905.16</v>
      </c>
      <c r="D6" s="16">
        <v>46302</v>
      </c>
      <c r="E6" s="16">
        <v>46302</v>
      </c>
      <c r="F6" s="16">
        <v>46303</v>
      </c>
      <c r="G6" s="16">
        <v>46303</v>
      </c>
      <c r="H6" s="16">
        <v>46304</v>
      </c>
      <c r="I6" s="16">
        <v>46304</v>
      </c>
      <c r="J6" s="9" t="s">
        <v>214</v>
      </c>
      <c r="K6" s="9" t="s">
        <v>216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K5" r:id="rId7"/>
    <hyperlink ref="K6" r:id="rId8"/>
    <hyperlink ref="J5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5"/>
  <sheetViews>
    <sheetView rightToLeft="1" zoomScaleNormal="100" workbookViewId="0">
      <pane ySplit="1" topLeftCell="A32" activePane="bottomLeft" state="frozen"/>
      <selection pane="bottomLeft" activeCell="E48" sqref="E48"/>
    </sheetView>
  </sheetViews>
  <sheetFormatPr defaultColWidth="8.6640625" defaultRowHeight="14.25"/>
  <cols>
    <col min="1" max="1" width="14" customWidth="1"/>
    <col min="2" max="2" width="12" customWidth="1"/>
    <col min="3" max="3" width="18" style="41" customWidth="1"/>
    <col min="4" max="4" width="14.6640625" customWidth="1"/>
    <col min="5" max="5" width="40" customWidth="1"/>
    <col min="6" max="6" width="18" customWidth="1"/>
    <col min="7" max="7" width="28" customWidth="1"/>
  </cols>
  <sheetData>
    <row r="1" spans="1:7">
      <c r="A1" s="3" t="s">
        <v>67</v>
      </c>
      <c r="B1" s="3" t="s">
        <v>68</v>
      </c>
      <c r="C1" s="38" t="s">
        <v>69</v>
      </c>
      <c r="D1" s="3" t="s">
        <v>85</v>
      </c>
      <c r="E1" s="3" t="s">
        <v>86</v>
      </c>
      <c r="F1" s="3" t="s">
        <v>87</v>
      </c>
      <c r="G1" s="3" t="s">
        <v>88</v>
      </c>
    </row>
    <row r="2" spans="1:7">
      <c r="A2" s="4" t="s">
        <v>30</v>
      </c>
      <c r="B2" s="5">
        <v>1</v>
      </c>
      <c r="C2" s="39">
        <v>524423.48</v>
      </c>
      <c r="D2" s="18"/>
      <c r="E2" s="4" t="s">
        <v>89</v>
      </c>
      <c r="F2" s="7">
        <v>46023</v>
      </c>
      <c r="G2" s="11" t="s">
        <v>90</v>
      </c>
    </row>
    <row r="3" spans="1:7">
      <c r="A3" s="4" t="s">
        <v>30</v>
      </c>
      <c r="B3" s="5">
        <v>2</v>
      </c>
      <c r="C3" s="39">
        <v>598669.88</v>
      </c>
      <c r="D3" s="18"/>
      <c r="E3" s="4" t="s">
        <v>89</v>
      </c>
      <c r="F3" s="7">
        <v>46023</v>
      </c>
      <c r="G3" s="11" t="s">
        <v>91</v>
      </c>
    </row>
    <row r="4" spans="1:7">
      <c r="A4" s="4" t="s">
        <v>30</v>
      </c>
      <c r="B4" s="5">
        <v>3</v>
      </c>
      <c r="C4" s="39">
        <v>1426602.6</v>
      </c>
      <c r="D4" s="18"/>
      <c r="E4" s="4" t="s">
        <v>89</v>
      </c>
      <c r="F4" s="7">
        <v>46023</v>
      </c>
      <c r="G4" s="11" t="s">
        <v>92</v>
      </c>
    </row>
    <row r="5" spans="1:7">
      <c r="A5" s="4" t="s">
        <v>30</v>
      </c>
      <c r="B5" s="5">
        <v>4</v>
      </c>
      <c r="C5" s="39">
        <v>392689.25</v>
      </c>
      <c r="D5" s="18"/>
      <c r="E5" s="4" t="s">
        <v>89</v>
      </c>
      <c r="F5" s="7">
        <v>46023</v>
      </c>
      <c r="G5" s="11" t="s">
        <v>93</v>
      </c>
    </row>
    <row r="6" spans="1:7">
      <c r="A6" s="4" t="s">
        <v>30</v>
      </c>
      <c r="B6" s="5">
        <v>5</v>
      </c>
      <c r="C6" s="39">
        <v>352176</v>
      </c>
      <c r="D6" s="18"/>
      <c r="E6" s="4" t="s">
        <v>89</v>
      </c>
      <c r="F6" s="7">
        <v>46023</v>
      </c>
      <c r="G6" s="11" t="s">
        <v>94</v>
      </c>
    </row>
    <row r="7" spans="1:7">
      <c r="A7" s="4" t="s">
        <v>30</v>
      </c>
      <c r="B7" s="5">
        <v>6</v>
      </c>
      <c r="C7" s="39">
        <v>537444.93999999994</v>
      </c>
      <c r="D7" s="18"/>
      <c r="E7" s="4" t="s">
        <v>89</v>
      </c>
      <c r="F7" s="7">
        <v>46023</v>
      </c>
      <c r="G7" s="11" t="s">
        <v>95</v>
      </c>
    </row>
    <row r="8" spans="1:7">
      <c r="A8" s="4" t="s">
        <v>30</v>
      </c>
      <c r="B8" s="5">
        <v>7</v>
      </c>
      <c r="C8" s="39">
        <v>593042.69999999995</v>
      </c>
      <c r="D8" s="18"/>
      <c r="E8" s="4" t="s">
        <v>89</v>
      </c>
      <c r="F8" s="7">
        <v>46023</v>
      </c>
      <c r="G8" s="11" t="s">
        <v>96</v>
      </c>
    </row>
    <row r="9" spans="1:7">
      <c r="A9" s="4" t="s">
        <v>30</v>
      </c>
      <c r="B9" s="5">
        <v>8</v>
      </c>
      <c r="C9" s="39">
        <v>923980.9</v>
      </c>
      <c r="D9" s="18"/>
      <c r="E9" s="4" t="s">
        <v>89</v>
      </c>
      <c r="F9" s="7">
        <v>46023</v>
      </c>
      <c r="G9" s="11" t="s">
        <v>97</v>
      </c>
    </row>
    <row r="10" spans="1:7" s="49" customFormat="1">
      <c r="A10" s="43" t="s">
        <v>30</v>
      </c>
      <c r="B10" s="44">
        <v>9</v>
      </c>
      <c r="C10" s="45">
        <v>1967626.35</v>
      </c>
      <c r="D10" s="46"/>
      <c r="E10" s="43" t="s">
        <v>89</v>
      </c>
      <c r="F10" s="47">
        <v>46271</v>
      </c>
      <c r="G10" s="48" t="s">
        <v>99</v>
      </c>
    </row>
    <row r="11" spans="1:7" s="24" customFormat="1">
      <c r="A11" s="19" t="s">
        <v>30</v>
      </c>
      <c r="B11" s="20">
        <v>10</v>
      </c>
      <c r="C11" s="40">
        <v>4936942.4000000004</v>
      </c>
      <c r="D11" s="21" t="s">
        <v>100</v>
      </c>
      <c r="E11" s="19" t="s">
        <v>98</v>
      </c>
      <c r="F11" s="22">
        <v>46295</v>
      </c>
      <c r="G11" s="23" t="s">
        <v>101</v>
      </c>
    </row>
    <row r="12" spans="1:7">
      <c r="A12" s="4" t="s">
        <v>38</v>
      </c>
      <c r="B12" s="5">
        <v>1</v>
      </c>
      <c r="C12" s="39">
        <v>2153887.79</v>
      </c>
      <c r="D12" s="18"/>
      <c r="E12" s="4" t="s">
        <v>89</v>
      </c>
      <c r="F12" s="7">
        <v>46023</v>
      </c>
      <c r="G12" s="11" t="s">
        <v>102</v>
      </c>
    </row>
    <row r="13" spans="1:7">
      <c r="A13" s="4" t="s">
        <v>38</v>
      </c>
      <c r="B13" s="5">
        <v>2</v>
      </c>
      <c r="C13" s="39">
        <v>1770714.23</v>
      </c>
      <c r="D13" s="18"/>
      <c r="E13" s="4" t="s">
        <v>89</v>
      </c>
      <c r="F13" s="7">
        <v>46023</v>
      </c>
      <c r="G13" s="11" t="s">
        <v>103</v>
      </c>
    </row>
    <row r="14" spans="1:7" s="24" customFormat="1">
      <c r="A14" s="19" t="s">
        <v>38</v>
      </c>
      <c r="B14" s="20">
        <v>3</v>
      </c>
      <c r="C14" s="40">
        <v>5497905.1200000001</v>
      </c>
      <c r="D14" s="21" t="s">
        <v>104</v>
      </c>
      <c r="E14" s="19" t="s">
        <v>135</v>
      </c>
      <c r="F14" s="22">
        <v>46309</v>
      </c>
      <c r="G14" s="42" t="s">
        <v>233</v>
      </c>
    </row>
    <row r="15" spans="1:7" s="24" customFormat="1">
      <c r="A15" s="19" t="s">
        <v>38</v>
      </c>
      <c r="B15" s="20">
        <v>4</v>
      </c>
      <c r="C15" s="40">
        <v>2703713.7905000001</v>
      </c>
      <c r="D15" s="21"/>
      <c r="E15" s="19" t="s">
        <v>239</v>
      </c>
      <c r="F15" s="22"/>
      <c r="G15" s="42"/>
    </row>
    <row r="16" spans="1:7" s="24" customFormat="1">
      <c r="A16" s="19" t="s">
        <v>38</v>
      </c>
      <c r="B16" s="20">
        <v>5</v>
      </c>
      <c r="C16" s="40">
        <v>2555219.6149999998</v>
      </c>
      <c r="D16" s="21"/>
      <c r="E16" s="19" t="s">
        <v>239</v>
      </c>
      <c r="F16" s="22"/>
      <c r="G16" s="42"/>
    </row>
    <row r="17" spans="1:7" s="24" customFormat="1">
      <c r="A17" s="19" t="s">
        <v>38</v>
      </c>
      <c r="B17" s="20">
        <v>6</v>
      </c>
      <c r="C17" s="40">
        <v>2712621.3800000004</v>
      </c>
      <c r="D17" s="21"/>
      <c r="E17" s="19" t="s">
        <v>239</v>
      </c>
      <c r="F17" s="22"/>
      <c r="G17" s="42"/>
    </row>
    <row r="18" spans="1:7" s="24" customFormat="1">
      <c r="A18" s="19" t="s">
        <v>38</v>
      </c>
      <c r="B18" s="20">
        <v>7</v>
      </c>
      <c r="C18" s="40">
        <v>527503.45900000003</v>
      </c>
      <c r="D18" s="21"/>
      <c r="E18" s="19" t="s">
        <v>239</v>
      </c>
      <c r="F18" s="22"/>
      <c r="G18" s="42"/>
    </row>
    <row r="19" spans="1:7">
      <c r="A19" s="4" t="s">
        <v>46</v>
      </c>
      <c r="B19" s="5">
        <v>1</v>
      </c>
      <c r="C19" s="39">
        <v>20305.689999999999</v>
      </c>
      <c r="D19" s="18"/>
      <c r="E19" s="4" t="s">
        <v>89</v>
      </c>
      <c r="F19" s="7">
        <v>46023</v>
      </c>
      <c r="G19" s="11" t="s">
        <v>106</v>
      </c>
    </row>
    <row r="20" spans="1:7">
      <c r="A20" s="4" t="s">
        <v>46</v>
      </c>
      <c r="B20" s="5">
        <v>2</v>
      </c>
      <c r="C20" s="39">
        <v>149789.57</v>
      </c>
      <c r="D20" s="18"/>
      <c r="E20" s="4" t="s">
        <v>89</v>
      </c>
      <c r="F20" s="7">
        <v>46023</v>
      </c>
      <c r="G20" s="11" t="s">
        <v>107</v>
      </c>
    </row>
    <row r="21" spans="1:7">
      <c r="A21" s="4" t="s">
        <v>46</v>
      </c>
      <c r="B21" s="5">
        <v>3</v>
      </c>
      <c r="C21" s="39">
        <v>254014.1</v>
      </c>
      <c r="D21" s="18"/>
      <c r="E21" s="4" t="s">
        <v>89</v>
      </c>
      <c r="F21" s="7">
        <v>46023</v>
      </c>
      <c r="G21" s="11" t="s">
        <v>108</v>
      </c>
    </row>
    <row r="22" spans="1:7">
      <c r="A22" s="4" t="s">
        <v>46</v>
      </c>
      <c r="B22" s="5">
        <v>4</v>
      </c>
      <c r="C22" s="39">
        <v>1317129.67</v>
      </c>
      <c r="D22" s="18"/>
      <c r="E22" s="4" t="s">
        <v>89</v>
      </c>
      <c r="F22" s="7">
        <v>46023</v>
      </c>
      <c r="G22" s="11" t="s">
        <v>109</v>
      </c>
    </row>
    <row r="23" spans="1:7">
      <c r="A23" s="4" t="s">
        <v>46</v>
      </c>
      <c r="B23" s="5">
        <v>5</v>
      </c>
      <c r="C23" s="39">
        <v>326492.99</v>
      </c>
      <c r="D23" s="18"/>
      <c r="E23" s="4" t="s">
        <v>89</v>
      </c>
      <c r="F23" s="7">
        <v>46023</v>
      </c>
      <c r="G23" s="11" t="s">
        <v>110</v>
      </c>
    </row>
    <row r="24" spans="1:7">
      <c r="A24" s="4" t="s">
        <v>46</v>
      </c>
      <c r="B24" s="5">
        <v>6</v>
      </c>
      <c r="C24" s="39">
        <v>1815207.98</v>
      </c>
      <c r="D24" s="18"/>
      <c r="E24" s="4" t="s">
        <v>89</v>
      </c>
      <c r="F24" s="7">
        <v>46023</v>
      </c>
      <c r="G24" s="11" t="s">
        <v>111</v>
      </c>
    </row>
    <row r="25" spans="1:7">
      <c r="A25" s="4" t="s">
        <v>46</v>
      </c>
      <c r="B25" s="5">
        <v>7</v>
      </c>
      <c r="C25" s="39">
        <v>1863006.96</v>
      </c>
      <c r="D25" s="18"/>
      <c r="E25" s="4" t="s">
        <v>89</v>
      </c>
      <c r="F25" s="7">
        <v>46286</v>
      </c>
      <c r="G25" s="11" t="s">
        <v>112</v>
      </c>
    </row>
    <row r="26" spans="1:7" s="24" customFormat="1">
      <c r="A26" s="19" t="s">
        <v>46</v>
      </c>
      <c r="B26" s="20">
        <v>8</v>
      </c>
      <c r="C26" s="40">
        <v>5077174.25</v>
      </c>
      <c r="D26" s="21" t="s">
        <v>113</v>
      </c>
      <c r="E26" s="19" t="s">
        <v>135</v>
      </c>
      <c r="F26" s="22">
        <v>46309</v>
      </c>
      <c r="G26" s="25" t="s">
        <v>114</v>
      </c>
    </row>
    <row r="27" spans="1:7" ht="15.75">
      <c r="A27" s="4" t="s">
        <v>46</v>
      </c>
      <c r="B27" s="5">
        <v>9</v>
      </c>
      <c r="C27" s="39">
        <v>1794184.7359999998</v>
      </c>
      <c r="D27" s="50">
        <v>261002068002</v>
      </c>
      <c r="E27" s="4" t="s">
        <v>123</v>
      </c>
      <c r="F27" s="7"/>
      <c r="G27" s="11"/>
    </row>
    <row r="28" spans="1:7" ht="15.75">
      <c r="A28" s="4" t="s">
        <v>46</v>
      </c>
      <c r="B28" s="5">
        <v>10</v>
      </c>
      <c r="C28" s="39">
        <v>1402365.6024999998</v>
      </c>
      <c r="D28" s="50">
        <v>261002068023</v>
      </c>
      <c r="E28" s="4" t="s">
        <v>123</v>
      </c>
      <c r="F28" s="7"/>
      <c r="G28" s="11"/>
    </row>
    <row r="29" spans="1:7" ht="15.75">
      <c r="A29" s="4" t="s">
        <v>46</v>
      </c>
      <c r="B29" s="5">
        <v>11</v>
      </c>
      <c r="C29" s="39">
        <v>1413991.8150000002</v>
      </c>
      <c r="D29" s="50">
        <v>261002068043</v>
      </c>
      <c r="E29" s="4" t="s">
        <v>123</v>
      </c>
      <c r="F29" s="7"/>
      <c r="G29" s="11"/>
    </row>
    <row r="30" spans="1:7" ht="15.75">
      <c r="A30" s="4" t="s">
        <v>46</v>
      </c>
      <c r="B30" s="5">
        <v>12</v>
      </c>
      <c r="C30" s="39">
        <v>1419539.875</v>
      </c>
      <c r="D30" s="50">
        <v>261002068065</v>
      </c>
      <c r="E30" s="4" t="s">
        <v>123</v>
      </c>
      <c r="F30" s="7"/>
      <c r="G30" s="11"/>
    </row>
    <row r="31" spans="1:7" ht="15.75">
      <c r="A31" s="4" t="s">
        <v>46</v>
      </c>
      <c r="B31" s="5">
        <v>13</v>
      </c>
      <c r="C31" s="39">
        <v>1307012.0300000003</v>
      </c>
      <c r="D31" s="50">
        <v>261002068081</v>
      </c>
      <c r="E31" s="4" t="s">
        <v>123</v>
      </c>
      <c r="F31" s="7"/>
      <c r="G31" s="11"/>
    </row>
    <row r="32" spans="1:7" ht="15.75">
      <c r="A32" s="4" t="s">
        <v>46</v>
      </c>
      <c r="B32" s="5">
        <v>14</v>
      </c>
      <c r="C32" s="39">
        <v>1421955.3580000002</v>
      </c>
      <c r="D32" s="50">
        <v>261002068100</v>
      </c>
      <c r="E32" s="4" t="s">
        <v>123</v>
      </c>
      <c r="F32" s="7"/>
      <c r="G32" s="11"/>
    </row>
    <row r="33" spans="1:7" ht="15.75">
      <c r="A33" s="4" t="s">
        <v>46</v>
      </c>
      <c r="B33" s="5">
        <v>15</v>
      </c>
      <c r="C33" s="39">
        <v>1034842.68</v>
      </c>
      <c r="D33" s="50">
        <v>261002068115</v>
      </c>
      <c r="E33" s="4" t="s">
        <v>123</v>
      </c>
      <c r="F33" s="7"/>
      <c r="G33" s="11"/>
    </row>
    <row r="34" spans="1:7">
      <c r="A34" s="4" t="s">
        <v>53</v>
      </c>
      <c r="B34" s="5">
        <v>1</v>
      </c>
      <c r="C34" s="39">
        <v>497941.68</v>
      </c>
      <c r="D34" s="18"/>
      <c r="E34" s="4" t="s">
        <v>89</v>
      </c>
      <c r="F34" s="4" t="s">
        <v>89</v>
      </c>
      <c r="G34" s="11" t="s">
        <v>115</v>
      </c>
    </row>
    <row r="35" spans="1:7">
      <c r="A35" s="4" t="s">
        <v>53</v>
      </c>
      <c r="B35" s="5">
        <v>2</v>
      </c>
      <c r="C35" s="39">
        <v>737819.1</v>
      </c>
      <c r="D35" s="18"/>
      <c r="E35" s="4" t="s">
        <v>89</v>
      </c>
      <c r="F35" s="4" t="s">
        <v>89</v>
      </c>
      <c r="G35" s="11" t="s">
        <v>116</v>
      </c>
    </row>
    <row r="36" spans="1:7">
      <c r="A36" s="4" t="s">
        <v>53</v>
      </c>
      <c r="B36" s="5">
        <v>3</v>
      </c>
      <c r="C36" s="39">
        <v>574474.80000000005</v>
      </c>
      <c r="D36" s="18"/>
      <c r="E36" s="4" t="s">
        <v>89</v>
      </c>
      <c r="F36" s="4" t="s">
        <v>89</v>
      </c>
      <c r="G36" s="11" t="s">
        <v>117</v>
      </c>
    </row>
    <row r="37" spans="1:7" s="24" customFormat="1">
      <c r="A37" s="19" t="s">
        <v>53</v>
      </c>
      <c r="B37" s="20">
        <v>4</v>
      </c>
      <c r="C37" s="40">
        <v>1891465.9</v>
      </c>
      <c r="D37" s="21" t="s">
        <v>118</v>
      </c>
      <c r="E37" s="19" t="s">
        <v>98</v>
      </c>
      <c r="F37" s="22">
        <v>46295</v>
      </c>
      <c r="G37" s="23" t="s">
        <v>119</v>
      </c>
    </row>
    <row r="38" spans="1:7" s="24" customFormat="1">
      <c r="A38" s="19" t="s">
        <v>53</v>
      </c>
      <c r="B38" s="20">
        <v>5</v>
      </c>
      <c r="C38" s="40">
        <v>5218939.29</v>
      </c>
      <c r="D38" s="21" t="s">
        <v>120</v>
      </c>
      <c r="E38" s="19" t="s">
        <v>131</v>
      </c>
      <c r="F38" s="22">
        <v>46309</v>
      </c>
      <c r="G38" s="42" t="s">
        <v>232</v>
      </c>
    </row>
    <row r="39" spans="1:7" ht="15.75">
      <c r="A39" s="4" t="s">
        <v>53</v>
      </c>
      <c r="B39" s="5">
        <v>6</v>
      </c>
      <c r="C39" s="39">
        <v>4294529.8470000001</v>
      </c>
      <c r="D39" s="50">
        <v>261002068147</v>
      </c>
      <c r="E39" s="4" t="s">
        <v>123</v>
      </c>
      <c r="F39" s="4"/>
      <c r="G39" s="11"/>
    </row>
    <row r="40" spans="1:7" ht="15.75">
      <c r="A40" s="4" t="s">
        <v>53</v>
      </c>
      <c r="B40" s="5">
        <v>7</v>
      </c>
      <c r="C40" s="39">
        <v>2411784.3699999996</v>
      </c>
      <c r="D40" s="50">
        <v>261002068169</v>
      </c>
      <c r="E40" s="4" t="s">
        <v>123</v>
      </c>
      <c r="F40" s="4"/>
      <c r="G40" s="11"/>
    </row>
    <row r="41" spans="1:7" ht="15.75">
      <c r="A41" s="4" t="s">
        <v>53</v>
      </c>
      <c r="B41" s="5">
        <v>8</v>
      </c>
      <c r="C41" s="39">
        <v>1439049.165</v>
      </c>
      <c r="D41" s="50">
        <v>261002068188</v>
      </c>
      <c r="E41" s="4" t="s">
        <v>123</v>
      </c>
      <c r="F41" s="4"/>
      <c r="G41" s="11"/>
    </row>
    <row r="42" spans="1:7" s="24" customFormat="1">
      <c r="A42" s="19" t="s">
        <v>62</v>
      </c>
      <c r="B42" s="20">
        <v>1</v>
      </c>
      <c r="C42" s="40">
        <v>828053.83</v>
      </c>
      <c r="D42" s="21"/>
      <c r="E42" s="19" t="s">
        <v>89</v>
      </c>
      <c r="F42" s="22">
        <v>46310</v>
      </c>
      <c r="G42" s="23" t="s">
        <v>121</v>
      </c>
    </row>
    <row r="43" spans="1:7" s="24" customFormat="1">
      <c r="A43" s="19" t="s">
        <v>62</v>
      </c>
      <c r="B43" s="20">
        <v>2</v>
      </c>
      <c r="C43" s="40">
        <v>1110858.5900000001</v>
      </c>
      <c r="D43" s="21" t="s">
        <v>122</v>
      </c>
      <c r="E43" s="19" t="s">
        <v>135</v>
      </c>
      <c r="F43" s="22">
        <v>46306</v>
      </c>
      <c r="G43" s="25" t="s">
        <v>124</v>
      </c>
    </row>
    <row r="44" spans="1:7" s="24" customFormat="1">
      <c r="A44" s="19" t="s">
        <v>62</v>
      </c>
      <c r="B44" s="20">
        <v>3</v>
      </c>
      <c r="C44" s="40">
        <v>768498.08</v>
      </c>
      <c r="D44" s="21" t="s">
        <v>227</v>
      </c>
      <c r="E44" s="19" t="s">
        <v>123</v>
      </c>
      <c r="F44" s="22">
        <v>46309</v>
      </c>
      <c r="G44" s="25"/>
    </row>
    <row r="45" spans="1:7" s="24" customFormat="1" ht="15.75">
      <c r="A45" s="19" t="s">
        <v>62</v>
      </c>
      <c r="B45" s="20">
        <v>4</v>
      </c>
      <c r="C45" s="40">
        <v>1723069.0637500002</v>
      </c>
      <c r="D45" s="50">
        <v>261002068209</v>
      </c>
      <c r="E45" s="4" t="s">
        <v>123</v>
      </c>
      <c r="F45" s="22"/>
      <c r="G45" s="25"/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20" r:id="rId13"/>
    <hyperlink ref="G21" r:id="rId14"/>
    <hyperlink ref="G22" r:id="rId15"/>
    <hyperlink ref="G23" r:id="rId16"/>
    <hyperlink ref="G24" r:id="rId17"/>
    <hyperlink ref="G25" r:id="rId18"/>
    <hyperlink ref="G26" r:id="rId19"/>
    <hyperlink ref="G34" r:id="rId20"/>
    <hyperlink ref="G35" r:id="rId21"/>
    <hyperlink ref="G36" r:id="rId22"/>
    <hyperlink ref="G37" r:id="rId23"/>
    <hyperlink ref="G42" r:id="rId24"/>
    <hyperlink ref="G43" r:id="rId25"/>
    <hyperlink ref="G38" r:id="rId26"/>
    <hyperlink ref="G14" r:id="rId27"/>
    <hyperlink ref="G19" r:id="rId28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القوائم!$B$1:$B$21</xm:f>
          </x14:formula1>
          <xm:sqref>E2:E214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"/>
  <sheetViews>
    <sheetView zoomScaleNormal="100" workbookViewId="0"/>
  </sheetViews>
  <sheetFormatPr defaultColWidth="8.6640625" defaultRowHeight="14.25"/>
  <sheetData>
    <row r="1" spans="1:3">
      <c r="A1" s="6" t="s">
        <v>40</v>
      </c>
      <c r="B1" s="6" t="s">
        <v>123</v>
      </c>
      <c r="C1" t="s">
        <v>125</v>
      </c>
    </row>
    <row r="2" spans="1:3">
      <c r="A2" s="6" t="s">
        <v>33</v>
      </c>
      <c r="B2" s="6" t="s">
        <v>105</v>
      </c>
      <c r="C2" t="s">
        <v>126</v>
      </c>
    </row>
    <row r="3" spans="1:3">
      <c r="B3" s="6" t="s">
        <v>127</v>
      </c>
      <c r="C3" t="s">
        <v>128</v>
      </c>
    </row>
    <row r="4" spans="1:3">
      <c r="B4" s="6" t="s">
        <v>129</v>
      </c>
      <c r="C4" t="s">
        <v>130</v>
      </c>
    </row>
    <row r="5" spans="1:3">
      <c r="B5" s="6" t="s">
        <v>131</v>
      </c>
    </row>
    <row r="6" spans="1:3">
      <c r="B6" s="6" t="s">
        <v>132</v>
      </c>
    </row>
    <row r="7" spans="1:3">
      <c r="B7" s="6" t="s">
        <v>133</v>
      </c>
    </row>
    <row r="8" spans="1:3">
      <c r="B8" s="6" t="s">
        <v>134</v>
      </c>
    </row>
    <row r="9" spans="1:3">
      <c r="B9" s="6" t="s">
        <v>135</v>
      </c>
    </row>
    <row r="10" spans="1:3">
      <c r="B10" s="6" t="s">
        <v>136</v>
      </c>
    </row>
    <row r="11" spans="1:3">
      <c r="B11" s="6" t="s">
        <v>137</v>
      </c>
    </row>
    <row r="12" spans="1:3">
      <c r="B12" s="6" t="s">
        <v>138</v>
      </c>
    </row>
    <row r="13" spans="1:3">
      <c r="B13" s="6" t="s">
        <v>139</v>
      </c>
    </row>
    <row r="14" spans="1:3">
      <c r="B14" s="6" t="s">
        <v>140</v>
      </c>
    </row>
    <row r="15" spans="1:3">
      <c r="B15" s="6" t="s">
        <v>98</v>
      </c>
    </row>
    <row r="16" spans="1:3">
      <c r="B16" s="6" t="s">
        <v>89</v>
      </c>
    </row>
    <row r="17" spans="2:2">
      <c r="B17" s="6" t="s">
        <v>222</v>
      </c>
    </row>
    <row r="18" spans="2:2">
      <c r="B18" s="6" t="s">
        <v>223</v>
      </c>
    </row>
    <row r="19" spans="2:2">
      <c r="B19" s="6" t="s">
        <v>224</v>
      </c>
    </row>
    <row r="20" spans="2:2">
      <c r="B20" s="6" t="s">
        <v>225</v>
      </c>
    </row>
    <row r="21" spans="2:2">
      <c r="B21" s="6" t="s">
        <v>226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D10" sqref="D10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67</v>
      </c>
      <c r="B1" s="3" t="s">
        <v>141</v>
      </c>
      <c r="C1" s="3" t="s">
        <v>142</v>
      </c>
      <c r="D1" s="3" t="s">
        <v>143</v>
      </c>
      <c r="E1" s="3" t="s">
        <v>144</v>
      </c>
    </row>
    <row r="2" spans="1:5">
      <c r="A2" s="4" t="s">
        <v>30</v>
      </c>
      <c r="B2" s="5">
        <v>1</v>
      </c>
      <c r="C2" s="5">
        <v>970791.18</v>
      </c>
      <c r="D2" s="4" t="s">
        <v>145</v>
      </c>
      <c r="E2" s="11" t="s">
        <v>146</v>
      </c>
    </row>
    <row r="3" spans="1:5">
      <c r="A3" s="4" t="s">
        <v>38</v>
      </c>
      <c r="B3" s="5">
        <v>1</v>
      </c>
      <c r="C3" s="5">
        <v>-1457.31</v>
      </c>
      <c r="D3" s="4" t="s">
        <v>217</v>
      </c>
      <c r="E3" s="11" t="s">
        <v>147</v>
      </c>
    </row>
    <row r="4" spans="1:5">
      <c r="A4" s="4" t="s">
        <v>38</v>
      </c>
      <c r="B4" s="5">
        <v>2</v>
      </c>
      <c r="C4" s="5">
        <v>-10.61</v>
      </c>
      <c r="D4" s="4" t="s">
        <v>218</v>
      </c>
      <c r="E4" s="11" t="s">
        <v>148</v>
      </c>
    </row>
    <row r="5" spans="1:5">
      <c r="A5" s="4" t="s">
        <v>46</v>
      </c>
      <c r="B5" s="5">
        <v>1</v>
      </c>
      <c r="C5" s="5">
        <v>1159386.6299999999</v>
      </c>
      <c r="D5" s="4" t="s">
        <v>219</v>
      </c>
      <c r="E5" s="11" t="s">
        <v>149</v>
      </c>
    </row>
    <row r="6" spans="1:5">
      <c r="A6" s="4" t="s">
        <v>53</v>
      </c>
      <c r="B6" s="5">
        <v>1</v>
      </c>
      <c r="C6" s="5">
        <v>2274607.21</v>
      </c>
      <c r="D6" s="4" t="s">
        <v>145</v>
      </c>
      <c r="E6" s="11" t="s">
        <v>150</v>
      </c>
    </row>
    <row r="7" spans="1:5">
      <c r="A7" s="4" t="s">
        <v>62</v>
      </c>
      <c r="B7" s="5">
        <v>1</v>
      </c>
      <c r="C7" s="5">
        <v>2233085.79</v>
      </c>
      <c r="D7" s="4" t="s">
        <v>145</v>
      </c>
      <c r="E7" s="11" t="s">
        <v>151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9" sqref="D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67</v>
      </c>
      <c r="B1" s="3" t="s">
        <v>152</v>
      </c>
      <c r="C1" s="3" t="s">
        <v>153</v>
      </c>
      <c r="D1" s="3" t="s">
        <v>143</v>
      </c>
      <c r="E1" s="3" t="s">
        <v>144</v>
      </c>
    </row>
    <row r="2" spans="1:5">
      <c r="A2" s="4" t="s">
        <v>30</v>
      </c>
      <c r="B2" s="5">
        <v>1</v>
      </c>
      <c r="C2" s="5">
        <v>1291643.2</v>
      </c>
      <c r="D2" s="4" t="s">
        <v>154</v>
      </c>
      <c r="E2" s="11" t="s">
        <v>155</v>
      </c>
    </row>
    <row r="3" spans="1:5">
      <c r="A3" s="4" t="s">
        <v>38</v>
      </c>
      <c r="B3" s="5">
        <v>1</v>
      </c>
      <c r="C3" s="5">
        <v>2265354.64</v>
      </c>
      <c r="D3" s="4" t="s">
        <v>156</v>
      </c>
      <c r="E3" s="11" t="s">
        <v>157</v>
      </c>
    </row>
    <row r="4" spans="1:5">
      <c r="A4" s="4" t="s">
        <v>46</v>
      </c>
      <c r="B4" s="5">
        <v>1</v>
      </c>
      <c r="C4" s="5">
        <v>1104000</v>
      </c>
      <c r="D4" s="4" t="s">
        <v>158</v>
      </c>
      <c r="E4" s="11" t="s">
        <v>51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rightToLeft="1" tabSelected="1" zoomScaleNormal="100" workbookViewId="0">
      <pane ySplit="1" topLeftCell="A2" activePane="bottomLeft" state="frozen"/>
      <selection pane="bottomLeft" activeCell="C11" sqref="C11"/>
    </sheetView>
  </sheetViews>
  <sheetFormatPr defaultColWidth="8.6640625" defaultRowHeight="14.25"/>
  <cols>
    <col min="1" max="2" width="14" style="13" customWidth="1"/>
    <col min="3" max="3" width="75.19921875" style="13" customWidth="1"/>
    <col min="4" max="4" width="60" style="13" customWidth="1"/>
    <col min="5" max="5" width="8.6640625" style="13" customWidth="1"/>
    <col min="6" max="16384" width="8.6640625" style="13"/>
  </cols>
  <sheetData>
    <row r="1" spans="1:4">
      <c r="A1" s="3" t="s">
        <v>67</v>
      </c>
      <c r="B1" s="3" t="s">
        <v>159</v>
      </c>
      <c r="C1" s="3" t="s">
        <v>160</v>
      </c>
      <c r="D1" s="3" t="s">
        <v>143</v>
      </c>
    </row>
    <row r="2" spans="1:4" ht="27">
      <c r="A2" s="14" t="s">
        <v>30</v>
      </c>
      <c r="B2" s="16">
        <v>46251</v>
      </c>
      <c r="C2" s="14" t="s">
        <v>161</v>
      </c>
      <c r="D2" s="14" t="s">
        <v>230</v>
      </c>
    </row>
    <row r="3" spans="1:4" ht="27">
      <c r="A3" s="14" t="s">
        <v>30</v>
      </c>
      <c r="B3" s="16">
        <v>46265</v>
      </c>
      <c r="C3" s="14" t="s">
        <v>162</v>
      </c>
      <c r="D3" s="14" t="s">
        <v>231</v>
      </c>
    </row>
    <row r="4" spans="1:4">
      <c r="A4" s="14" t="s">
        <v>30</v>
      </c>
      <c r="B4" s="16">
        <v>46314</v>
      </c>
      <c r="C4" s="14" t="s">
        <v>241</v>
      </c>
      <c r="D4" s="14"/>
    </row>
    <row r="5" spans="1:4" ht="40.5" customHeight="1">
      <c r="A5" s="14" t="s">
        <v>38</v>
      </c>
      <c r="B5" s="16">
        <v>46160</v>
      </c>
      <c r="C5" s="14" t="s">
        <v>163</v>
      </c>
      <c r="D5" s="14" t="s">
        <v>229</v>
      </c>
    </row>
    <row r="6" spans="1:4">
      <c r="A6" s="14" t="s">
        <v>38</v>
      </c>
      <c r="B6" s="16">
        <v>46314</v>
      </c>
      <c r="C6" s="14" t="s">
        <v>241</v>
      </c>
      <c r="D6" s="14"/>
    </row>
    <row r="7" spans="1:4">
      <c r="A7" s="14" t="s">
        <v>46</v>
      </c>
      <c r="B7" s="16">
        <v>46314</v>
      </c>
      <c r="C7" s="14" t="s">
        <v>241</v>
      </c>
      <c r="D7" s="14"/>
    </row>
    <row r="8" spans="1:4">
      <c r="A8" s="14" t="s">
        <v>53</v>
      </c>
      <c r="B8" s="16">
        <v>46245</v>
      </c>
      <c r="C8" s="14" t="s">
        <v>161</v>
      </c>
      <c r="D8" s="14"/>
    </row>
    <row r="9" spans="1:4">
      <c r="A9" s="14" t="s">
        <v>62</v>
      </c>
      <c r="B9" s="16">
        <v>46252</v>
      </c>
      <c r="C9" s="14" t="s">
        <v>161</v>
      </c>
      <c r="D9" s="14"/>
    </row>
    <row r="10" spans="1:4" ht="27" customHeight="1">
      <c r="A10" s="14" t="s">
        <v>62</v>
      </c>
      <c r="B10" s="16">
        <v>46273</v>
      </c>
      <c r="C10" s="14" t="s">
        <v>164</v>
      </c>
      <c r="D10" s="14" t="s">
        <v>215</v>
      </c>
    </row>
    <row r="11" spans="1:4">
      <c r="A11" s="14" t="s">
        <v>62</v>
      </c>
      <c r="B11" s="16">
        <v>46314</v>
      </c>
      <c r="C11" s="14" t="s">
        <v>241</v>
      </c>
      <c r="D11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rightToLeft="1" workbookViewId="0">
      <pane xSplit="1" ySplit="1" topLeftCell="E2" activePane="bottomRight" state="frozen"/>
      <selection pane="topRight"/>
      <selection pane="bottomLeft"/>
      <selection pane="bottomRight" activeCell="G3" sqref="G3"/>
    </sheetView>
  </sheetViews>
  <sheetFormatPr defaultRowHeight="14.25"/>
  <cols>
    <col min="1" max="1" width="16" style="33" customWidth="1"/>
    <col min="2" max="2" width="20" style="33" customWidth="1"/>
    <col min="3" max="3" width="30" style="33" customWidth="1"/>
    <col min="4" max="4" width="45" style="33" customWidth="1"/>
    <col min="5" max="5" width="30" style="33" customWidth="1"/>
    <col min="6" max="6" width="45" style="33" customWidth="1"/>
    <col min="7" max="7" width="30" style="33" customWidth="1"/>
    <col min="8" max="8" width="16" style="36" customWidth="1"/>
    <col min="9" max="9" width="13" style="33" customWidth="1"/>
    <col min="10" max="10" width="9.06640625" style="33" customWidth="1"/>
    <col min="11" max="16384" width="9.06640625" style="33"/>
  </cols>
  <sheetData>
    <row r="1" spans="1:8">
      <c r="A1" s="31" t="s">
        <v>13</v>
      </c>
      <c r="B1" s="31" t="s">
        <v>165</v>
      </c>
      <c r="C1" s="31" t="s">
        <v>166</v>
      </c>
      <c r="D1" s="31" t="s">
        <v>167</v>
      </c>
      <c r="E1" s="31" t="s">
        <v>168</v>
      </c>
      <c r="F1" s="31" t="s">
        <v>143</v>
      </c>
      <c r="G1" s="31" t="s">
        <v>169</v>
      </c>
      <c r="H1" s="32" t="s">
        <v>170</v>
      </c>
    </row>
    <row r="2" spans="1:8" ht="135.75" customHeight="1">
      <c r="A2" s="30" t="s">
        <v>30</v>
      </c>
      <c r="B2" s="30" t="s">
        <v>125</v>
      </c>
      <c r="C2" s="34" t="s">
        <v>171</v>
      </c>
      <c r="D2" s="30" t="s">
        <v>172</v>
      </c>
      <c r="E2" s="34" t="s">
        <v>173</v>
      </c>
      <c r="F2" s="30" t="s">
        <v>237</v>
      </c>
      <c r="G2" s="35" t="s">
        <v>174</v>
      </c>
      <c r="H2" s="36" t="s">
        <v>175</v>
      </c>
    </row>
    <row r="3" spans="1:8" ht="71.25" customHeight="1">
      <c r="A3" s="37" t="s">
        <v>38</v>
      </c>
      <c r="B3" s="37" t="s">
        <v>176</v>
      </c>
      <c r="C3" s="34" t="s">
        <v>177</v>
      </c>
      <c r="D3" s="37" t="s">
        <v>178</v>
      </c>
      <c r="E3" s="34" t="s">
        <v>179</v>
      </c>
      <c r="F3" s="30" t="s">
        <v>238</v>
      </c>
      <c r="H3" s="36" t="s">
        <v>175</v>
      </c>
    </row>
    <row r="4" spans="1:8" ht="85.5">
      <c r="A4" s="37" t="s">
        <v>46</v>
      </c>
      <c r="B4" s="37" t="s">
        <v>180</v>
      </c>
      <c r="C4" s="34" t="s">
        <v>181</v>
      </c>
      <c r="D4" s="37" t="s">
        <v>182</v>
      </c>
      <c r="E4" s="34" t="s">
        <v>183</v>
      </c>
      <c r="F4" s="37" t="s">
        <v>236</v>
      </c>
      <c r="H4" s="36" t="s">
        <v>175</v>
      </c>
    </row>
    <row r="5" spans="1:8" ht="171.75" customHeight="1">
      <c r="A5" s="37" t="s">
        <v>53</v>
      </c>
      <c r="B5" s="37" t="s">
        <v>184</v>
      </c>
      <c r="C5" s="34" t="s">
        <v>185</v>
      </c>
      <c r="D5" s="37" t="s">
        <v>186</v>
      </c>
      <c r="E5" s="34" t="s">
        <v>187</v>
      </c>
      <c r="F5" s="37" t="s">
        <v>235</v>
      </c>
      <c r="G5" s="42" t="s">
        <v>228</v>
      </c>
      <c r="H5" s="36" t="s">
        <v>175</v>
      </c>
    </row>
    <row r="6" spans="1:8" ht="42.75" customHeight="1">
      <c r="A6" s="37" t="s">
        <v>62</v>
      </c>
      <c r="B6" s="37" t="s">
        <v>176</v>
      </c>
      <c r="C6" s="34" t="s">
        <v>188</v>
      </c>
      <c r="D6" s="37"/>
      <c r="E6" s="37"/>
      <c r="F6" s="37" t="s">
        <v>189</v>
      </c>
      <c r="H6" s="36" t="s">
        <v>190</v>
      </c>
    </row>
  </sheetData>
  <dataValidations count="1">
    <dataValidation type="list" allowBlank="1" sqref="H2:H50">
      <formula1>"لم يبدأ,قيد المتابعة,تم"</formula1>
    </dataValidation>
  </dataValidations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  <hyperlink ref="G5" r:id="rId11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القوائم!$C$1:$C$20</xm:f>
          </x14:formula1>
          <xm:sqref>B2:B50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rightToLeft="1" workbookViewId="0">
      <pane ySplit="1" topLeftCell="A2" activePane="bottomLeft" state="frozen"/>
      <selection pane="bottomLeft" activeCell="C11" sqref="C11"/>
    </sheetView>
  </sheetViews>
  <sheetFormatPr defaultRowHeight="14.25"/>
  <cols>
    <col min="1" max="1" width="24" customWidth="1"/>
    <col min="2" max="2" width="26" customWidth="1"/>
    <col min="3" max="3" width="32" customWidth="1"/>
    <col min="4" max="4" width="40" customWidth="1"/>
    <col min="5" max="6" width="22" customWidth="1"/>
  </cols>
  <sheetData>
    <row r="1" spans="1:6">
      <c r="A1" s="3" t="s">
        <v>13</v>
      </c>
      <c r="B1" s="3" t="s">
        <v>191</v>
      </c>
      <c r="C1" s="3" t="s">
        <v>192</v>
      </c>
      <c r="D1" s="3" t="s">
        <v>193</v>
      </c>
      <c r="E1" s="3" t="s">
        <v>194</v>
      </c>
      <c r="F1" s="3" t="s">
        <v>195</v>
      </c>
    </row>
    <row r="2" spans="1:6">
      <c r="A2" s="26" t="s">
        <v>30</v>
      </c>
      <c r="B2" s="27">
        <v>0</v>
      </c>
      <c r="C2" s="27">
        <v>0</v>
      </c>
      <c r="D2" s="26"/>
      <c r="E2" s="29">
        <v>20</v>
      </c>
      <c r="F2" s="29">
        <v>25</v>
      </c>
    </row>
    <row r="3" spans="1:6">
      <c r="A3" s="26" t="s">
        <v>38</v>
      </c>
      <c r="B3" s="27">
        <v>11997031.470000001</v>
      </c>
      <c r="C3" s="27">
        <v>8499058.2400000002</v>
      </c>
      <c r="D3" s="26"/>
      <c r="E3" s="29">
        <v>20</v>
      </c>
      <c r="F3" s="29">
        <v>25</v>
      </c>
    </row>
    <row r="4" spans="1:6">
      <c r="A4" s="26" t="s">
        <v>46</v>
      </c>
      <c r="B4" s="27">
        <v>11966803.82</v>
      </c>
      <c r="C4" s="27">
        <v>9793892.0999999996</v>
      </c>
      <c r="D4" s="26"/>
      <c r="E4" s="29">
        <v>20</v>
      </c>
      <c r="F4" s="29">
        <v>25</v>
      </c>
    </row>
    <row r="5" spans="1:6">
      <c r="A5" s="26" t="s">
        <v>53</v>
      </c>
      <c r="B5" s="27">
        <v>11319082.9</v>
      </c>
      <c r="C5" s="27">
        <v>8145363.3820000002</v>
      </c>
      <c r="D5" s="26"/>
      <c r="E5" s="29">
        <v>20</v>
      </c>
      <c r="F5" s="29">
        <v>25</v>
      </c>
    </row>
    <row r="6" spans="1:6">
      <c r="A6" s="26" t="s">
        <v>62</v>
      </c>
      <c r="B6" s="27">
        <v>4000000</v>
      </c>
      <c r="C6" s="27">
        <v>1723069.06</v>
      </c>
      <c r="D6" s="26"/>
      <c r="E6" s="29">
        <v>15</v>
      </c>
      <c r="F6" s="29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rightToLeft="1" workbookViewId="0">
      <pane ySplit="1" topLeftCell="A2" activePane="bottomLeft" state="frozen"/>
      <selection pane="bottomLeft" activeCell="B15" sqref="B15"/>
    </sheetView>
  </sheetViews>
  <sheetFormatPr defaultRowHeight="14.25"/>
  <cols>
    <col min="1" max="1" width="34" customWidth="1"/>
    <col min="2" max="2" width="90" customWidth="1"/>
  </cols>
  <sheetData>
    <row r="1" spans="1:2">
      <c r="A1" s="3" t="s">
        <v>196</v>
      </c>
      <c r="B1" s="3" t="s">
        <v>197</v>
      </c>
    </row>
    <row r="2" spans="1:2">
      <c r="A2" s="26" t="s">
        <v>198</v>
      </c>
      <c r="B2" s="28" t="s">
        <v>199</v>
      </c>
    </row>
    <row r="3" spans="1:2" ht="28.5">
      <c r="A3" s="26" t="s">
        <v>200</v>
      </c>
      <c r="B3" s="28" t="s">
        <v>221</v>
      </c>
    </row>
    <row r="4" spans="1:2">
      <c r="A4" s="26" t="s">
        <v>201</v>
      </c>
      <c r="B4" s="28" t="s">
        <v>202</v>
      </c>
    </row>
    <row r="5" spans="1:2">
      <c r="A5" s="26" t="s">
        <v>203</v>
      </c>
      <c r="B5" s="28"/>
    </row>
    <row r="6" spans="1:2">
      <c r="A6" s="26" t="s">
        <v>204</v>
      </c>
      <c r="B6" s="28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rightToLeft="1" workbookViewId="0">
      <pane ySplit="1" topLeftCell="A2" activePane="bottomLeft" state="frozen"/>
      <selection pane="bottomLeft" activeCell="C5" sqref="C5"/>
    </sheetView>
  </sheetViews>
  <sheetFormatPr defaultRowHeight="14.25"/>
  <cols>
    <col min="1" max="1" width="8" customWidth="1"/>
    <col min="2" max="2" width="30" customWidth="1"/>
    <col min="3" max="3" width="90" customWidth="1"/>
  </cols>
  <sheetData>
    <row r="1" spans="1:3">
      <c r="A1" s="3" t="s">
        <v>205</v>
      </c>
      <c r="B1" s="3" t="s">
        <v>206</v>
      </c>
      <c r="C1" s="3" t="s">
        <v>207</v>
      </c>
    </row>
    <row r="2" spans="1:3">
      <c r="A2" s="26">
        <v>1</v>
      </c>
      <c r="B2" s="26" t="s">
        <v>208</v>
      </c>
      <c r="C2" s="26" t="s">
        <v>212</v>
      </c>
    </row>
    <row r="3" spans="1:3">
      <c r="A3" s="26">
        <v>2</v>
      </c>
      <c r="B3" s="26" t="s">
        <v>209</v>
      </c>
      <c r="C3" s="26" t="s">
        <v>240</v>
      </c>
    </row>
    <row r="4" spans="1:3">
      <c r="A4" s="26">
        <v>3</v>
      </c>
      <c r="B4" s="26" t="s">
        <v>210</v>
      </c>
      <c r="C4" s="26" t="s">
        <v>211</v>
      </c>
    </row>
    <row r="8" spans="1:3">
      <c r="C8" t="s">
        <v>220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  <vt:lpstr>المستهدف</vt:lpstr>
      <vt:lpstr>إعدادات_المستهدف</vt:lpstr>
      <vt:lpstr>آلية_العمل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2026-10-18T11:50:08Z</dcterms:modified>
  <dc:language>en-US</dc:language>
</cp:coreProperties>
</file>